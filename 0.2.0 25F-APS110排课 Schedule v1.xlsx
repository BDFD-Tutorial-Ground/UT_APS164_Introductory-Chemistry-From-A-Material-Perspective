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24导师排课表" sheetId="1" r:id="rId4"/>
  </sheets>
  <definedNames/>
  <calcPr/>
</workbook>
</file>

<file path=xl/sharedStrings.xml><?xml version="1.0" encoding="utf-8"?>
<sst xmlns="http://schemas.openxmlformats.org/spreadsheetml/2006/main" count="48" uniqueCount="46">
  <si>
    <t>课节</t>
  </si>
  <si>
    <t>时间日期</t>
  </si>
  <si>
    <t>Day</t>
  </si>
  <si>
    <t>Start Time</t>
  </si>
  <si>
    <t>End Time</t>
  </si>
  <si>
    <t>计划时长</t>
  </si>
  <si>
    <t>备注</t>
  </si>
  <si>
    <t>项目/Grade</t>
  </si>
  <si>
    <t>占比</t>
  </si>
  <si>
    <t>具体情况</t>
  </si>
  <si>
    <t>Class 1</t>
  </si>
  <si>
    <t>Intro. Introduction and Overview
1. Categorization of matter</t>
  </si>
  <si>
    <t>Textbook Question</t>
  </si>
  <si>
    <t>答题就有分, Tophat 上完成</t>
  </si>
  <si>
    <t>Class 2</t>
  </si>
  <si>
    <t>2. Elastic behaviour: not only rubber bands
3. Behaviour that's not elastic</t>
  </si>
  <si>
    <t>Problem Set</t>
  </si>
  <si>
    <t>预计10/10, 11/21</t>
  </si>
  <si>
    <t>Class 3</t>
  </si>
  <si>
    <t>3. Behaviour that's not elastic
4. A healthy relationship: the structure-property relationship</t>
  </si>
  <si>
    <t>Quizzes</t>
  </si>
  <si>
    <t>预计09/26, 10/24, 和11/28</t>
  </si>
  <si>
    <t>Class 4</t>
  </si>
  <si>
    <t>4. A healthy relationship: the structure-property relationship
5. I need more structure in my life</t>
  </si>
  <si>
    <t>Term Test 1</t>
  </si>
  <si>
    <t>预计10/14(9A.M)</t>
  </si>
  <si>
    <t>Class 5</t>
  </si>
  <si>
    <t>6. Getting more technical with metal behaviour
7. Meddling with matter</t>
  </si>
  <si>
    <t>Term Test 2</t>
  </si>
  <si>
    <t>Term Test Review Session</t>
  </si>
  <si>
    <t xml:space="preserve">Review Section For Test 1 </t>
  </si>
  <si>
    <t>Final Exam</t>
  </si>
  <si>
    <t>考试占比: 30%</t>
  </si>
  <si>
    <t>Class 7</t>
  </si>
  <si>
    <t>8. If plastics are polymers, are all polymers plastic?</t>
  </si>
  <si>
    <t>Class 8</t>
  </si>
  <si>
    <t>9. Quick! We need a better model!</t>
  </si>
  <si>
    <t>Class 9</t>
  </si>
  <si>
    <t>Class 10</t>
  </si>
  <si>
    <t>11. Free time, free money, free energy?</t>
  </si>
  <si>
    <t>Class 11</t>
  </si>
  <si>
    <t>11. Free time, free money, free energy?
12. Set Phasers to Fun: Phase Equilibrium and Phase Diagrams</t>
  </si>
  <si>
    <t>Class 12</t>
  </si>
  <si>
    <t>12. Set Phasers to Fun: Phase Equilibrium and Phase Diagrams</t>
  </si>
  <si>
    <t>Final Exam Review Session</t>
  </si>
  <si>
    <t>Review Section For Final Exam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</si>
</sst>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/m/d\ h:mm"/>
  </numFmts>
  <fonts count="4">
    <font>
      <sz val="10.0"/>
      <color rgb="FF000000"/>
      <name val="Calibri"/>
      <scheme val="minor"/>
    </font>
    <font>
      <sz val="12.0"/>
      <color rgb="FF000000"/>
      <name val="Calibri"/>
    </font>
    <font>
      <sz val="10.0"/>
      <color rgb="FF000000"/>
      <name val="Calibri"/>
    </font>
    <font>
      <sz val="9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1EAFF"/>
        <bgColor rgb="FFE1EAFF"/>
      </patternFill>
    </fill>
    <fill>
      <patternFill patternType="solid">
        <fgColor rgb="FFFFFFFF"/>
        <bgColor rgb="FFFFFFFF"/>
      </patternFill>
    </fill>
    <fill>
      <patternFill patternType="solid">
        <fgColor rgb="FFD9F3FD"/>
        <bgColor rgb="FFD9F3FD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A7A7A7"/>
      </bottom>
    </border>
    <border>
      <left style="thin">
        <color rgb="FFBFBFBF"/>
      </left>
      <right style="thin">
        <color rgb="FFA7A7A7"/>
      </right>
      <top style="thin">
        <color rgb="FFBFBFBF"/>
      </top>
      <bottom style="thin">
        <color rgb="FFBFBFBF"/>
      </bottom>
    </border>
    <border>
      <left style="thin">
        <color rgb="FFA7A7A7"/>
      </left>
      <right style="thin">
        <color rgb="FFA7A7A7"/>
      </right>
      <top style="thin">
        <color rgb="FFA7A7A7"/>
      </top>
      <bottom style="thin">
        <color rgb="FFA7A7A7"/>
      </bottom>
    </border>
    <border>
      <left style="thin">
        <color rgb="FFA7A7A7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525252"/>
      </bottom>
    </border>
    <border>
      <left style="thin">
        <color rgb="FFBFBFBF"/>
      </left>
      <right style="thin">
        <color rgb="FFA7A7A7"/>
      </right>
      <top style="thin">
        <color rgb="FFBFBFBF"/>
      </top>
      <bottom style="thin">
        <color rgb="FF525252"/>
      </bottom>
    </border>
    <border>
      <left style="thin">
        <color rgb="FFA7A7A7"/>
      </left>
      <right style="thin">
        <color rgb="FFA7A7A7"/>
      </right>
      <top style="thin">
        <color rgb="FFA7A7A7"/>
      </top>
      <bottom style="thin">
        <color rgb="FF525252"/>
      </bottom>
    </border>
    <border>
      <left style="thin">
        <color rgb="FFAAAAAA"/>
      </left>
      <right style="thin">
        <color rgb="FFAAAAAA"/>
      </right>
      <top style="thin">
        <color rgb="FF525252"/>
      </top>
      <bottom style="thin">
        <color rgb="FFAAAAAA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center" wrapText="0"/>
    </xf>
    <xf borderId="1" fillId="2" fontId="1" numFmtId="49" xfId="0" applyAlignment="1" applyBorder="1" applyFill="1" applyFont="1" applyNumberFormat="1">
      <alignment shrinkToFit="0" vertical="center" wrapText="1"/>
    </xf>
    <xf borderId="2" fillId="2" fontId="1" numFmtId="49" xfId="0" applyAlignment="1" applyBorder="1" applyFont="1" applyNumberFormat="1">
      <alignment shrinkToFit="0" vertical="center" wrapText="1"/>
    </xf>
    <xf borderId="3" fillId="3" fontId="1" numFmtId="0" xfId="0" applyAlignment="1" applyBorder="1" applyFill="1" applyFont="1">
      <alignment shrinkToFit="0" vertical="center" wrapText="1"/>
    </xf>
    <xf borderId="3" fillId="4" fontId="1" numFmtId="49" xfId="0" applyAlignment="1" applyBorder="1" applyFill="1" applyFont="1" applyNumberFormat="1">
      <alignment readingOrder="0" shrinkToFit="0" vertical="center" wrapText="1"/>
    </xf>
    <xf borderId="3" fillId="4" fontId="1" numFmtId="49" xfId="0" applyAlignment="1" applyBorder="1" applyFont="1" applyNumberFormat="1">
      <alignment shrinkToFit="0" vertical="center" wrapText="1"/>
    </xf>
    <xf borderId="0" fillId="0" fontId="2" numFmtId="0" xfId="0" applyAlignment="1" applyFont="1">
      <alignment vertical="center"/>
    </xf>
    <xf borderId="3" fillId="3" fontId="2" numFmtId="49" xfId="0" applyAlignment="1" applyBorder="1" applyFont="1" applyNumberFormat="1">
      <alignment readingOrder="0" shrinkToFit="0" vertical="center" wrapText="1"/>
    </xf>
    <xf borderId="3" fillId="3" fontId="2" numFmtId="164" xfId="0" applyAlignment="1" applyBorder="1" applyFont="1" applyNumberFormat="1">
      <alignment readingOrder="0" shrinkToFit="0" vertical="center" wrapText="1"/>
    </xf>
    <xf borderId="3" fillId="3" fontId="2" numFmtId="20" xfId="0" applyAlignment="1" applyBorder="1" applyFont="1" applyNumberFormat="1">
      <alignment shrinkToFit="0" vertical="center" wrapText="1"/>
    </xf>
    <xf borderId="3" fillId="3" fontId="2" numFmtId="0" xfId="0" applyAlignment="1" applyBorder="1" applyFont="1">
      <alignment shrinkToFit="0" vertical="center" wrapText="1"/>
    </xf>
    <xf borderId="3" fillId="3" fontId="1" numFmtId="49" xfId="0" applyAlignment="1" applyBorder="1" applyFont="1" applyNumberFormat="1">
      <alignment readingOrder="0" shrinkToFit="0" vertical="center" wrapText="1"/>
    </xf>
    <xf borderId="3" fillId="3" fontId="1" numFmtId="9" xfId="0" applyAlignment="1" applyBorder="1" applyFont="1" applyNumberFormat="1">
      <alignment readingOrder="0" shrinkToFit="0" vertical="center" wrapText="1"/>
    </xf>
    <xf borderId="3" fillId="3" fontId="1" numFmtId="9" xfId="0" applyAlignment="1" applyBorder="1" applyFont="1" applyNumberFormat="1">
      <alignment shrinkToFit="0" vertical="center" wrapText="1"/>
    </xf>
    <xf borderId="3" fillId="3" fontId="1" numFmtId="49" xfId="0" applyAlignment="1" applyBorder="1" applyFont="1" applyNumberFormat="1">
      <alignment shrinkToFit="0" vertical="center" wrapText="1"/>
    </xf>
    <xf borderId="3" fillId="2" fontId="2" numFmtId="49" xfId="0" applyAlignment="1" applyBorder="1" applyFont="1" applyNumberFormat="1">
      <alignment horizontal="center" shrinkToFit="0" vertical="center" wrapText="1"/>
    </xf>
    <xf borderId="3" fillId="2" fontId="2" numFmtId="164" xfId="0" applyAlignment="1" applyBorder="1" applyFont="1" applyNumberFormat="1">
      <alignment horizontal="center" readingOrder="0" shrinkToFit="0" vertical="center" wrapText="1"/>
    </xf>
    <xf borderId="3" fillId="2" fontId="2" numFmtId="20" xfId="0" applyAlignment="1" applyBorder="1" applyFont="1" applyNumberForma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3" fillId="3" fontId="2" numFmtId="49" xfId="0" applyAlignment="1" applyBorder="1" applyFont="1" applyNumberFormat="1">
      <alignment horizontal="center" readingOrder="0" shrinkToFit="0" vertical="center" wrapText="1"/>
    </xf>
    <xf borderId="3" fillId="3" fontId="2" numFmtId="0" xfId="0" applyAlignment="1" applyBorder="1" applyFont="1">
      <alignment readingOrder="0" shrinkToFit="0" vertical="center" wrapText="1"/>
    </xf>
    <xf borderId="3" fillId="3" fontId="2" numFmtId="49" xfId="0" applyAlignment="1" applyBorder="1" applyFont="1" applyNumberFormat="1">
      <alignment shrinkToFit="0" vertical="center" wrapText="1"/>
    </xf>
    <xf borderId="4" fillId="0" fontId="2" numFmtId="0" xfId="0" applyAlignment="1" applyBorder="1" applyFont="1">
      <alignment vertical="center"/>
    </xf>
    <xf borderId="5" fillId="3" fontId="2" numFmtId="0" xfId="0" applyAlignment="1" applyBorder="1" applyFont="1">
      <alignment vertical="center"/>
    </xf>
    <xf borderId="6" fillId="3" fontId="2" numFmtId="49" xfId="0" applyAlignment="1" applyBorder="1" applyFont="1" applyNumberFormat="1">
      <alignment shrinkToFit="0" vertical="center" wrapText="1"/>
    </xf>
    <xf borderId="7" fillId="3" fontId="2" numFmtId="0" xfId="0" applyAlignment="1" applyBorder="1" applyFont="1">
      <alignment shrinkToFit="0" vertical="center" wrapText="1"/>
    </xf>
    <xf borderId="8" fillId="3" fontId="2" numFmtId="49" xfId="0" applyAlignment="1" applyBorder="1" applyFont="1" applyNumberFormat="1">
      <alignment shrinkToFit="0" vertical="center" wrapText="1"/>
    </xf>
    <xf borderId="9" fillId="0" fontId="2" numFmtId="0" xfId="0" applyAlignment="1" applyBorder="1" applyFont="1">
      <alignment vertical="center"/>
    </xf>
    <xf borderId="10" fillId="3" fontId="2" numFmtId="49" xfId="0" applyAlignment="1" applyBorder="1" applyFont="1" applyNumberFormat="1">
      <alignment shrinkToFit="0" vertical="center" wrapText="1"/>
    </xf>
    <xf borderId="10" fillId="3" fontId="2" numFmtId="20" xfId="0" applyAlignment="1" applyBorder="1" applyFont="1" applyNumberFormat="1">
      <alignment shrinkToFit="0" vertical="center" wrapText="1"/>
    </xf>
    <xf borderId="11" fillId="3" fontId="2" numFmtId="0" xfId="0" applyAlignment="1" applyBorder="1" applyFont="1">
      <alignment shrinkToFit="0" vertical="center" wrapText="1"/>
    </xf>
    <xf borderId="12" fillId="3" fontId="2" numFmtId="0" xfId="0" applyAlignment="1" applyBorder="1" applyFont="1">
      <alignment shrinkToFit="0" vertical="center" wrapText="1"/>
    </xf>
    <xf borderId="13" fillId="3" fontId="2" numFmtId="0" xfId="0" applyAlignment="1" applyBorder="1" applyFont="1">
      <alignment vertical="center"/>
    </xf>
    <xf borderId="13" fillId="3" fontId="3" numFmtId="165" xfId="0" applyAlignment="1" applyBorder="1" applyFont="1" applyNumberFormat="1">
      <alignment vertical="center"/>
    </xf>
    <xf borderId="5" fillId="0" fontId="2" numFmtId="0" xfId="0" applyAlignment="1" applyBorder="1" applyFont="1">
      <alignment vertical="center"/>
    </xf>
    <xf borderId="5" fillId="3" fontId="3" numFmtId="165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5.0"/>
    <col customWidth="1" min="2" max="2" width="11.43"/>
    <col customWidth="1" min="3" max="3" width="11.57"/>
    <col customWidth="1" min="4" max="4" width="6.71"/>
    <col customWidth="1" min="5" max="5" width="6.86"/>
    <col customWidth="1" min="6" max="6" width="13.0"/>
    <col customWidth="1" min="7" max="7" width="48.0"/>
    <col customWidth="1" min="8" max="8" width="14.0"/>
    <col customWidth="1" min="9" max="9" width="19.14"/>
    <col customWidth="1" min="10" max="10" width="13.0"/>
    <col customWidth="1" min="11" max="11" width="21.0"/>
    <col customWidth="1" min="12" max="26" width="14.0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4" t="s">
        <v>7</v>
      </c>
      <c r="J1" s="5" t="s">
        <v>8</v>
      </c>
      <c r="K1" s="5" t="s">
        <v>9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10</v>
      </c>
      <c r="B2" s="8">
        <v>45907.0</v>
      </c>
      <c r="C2" s="7" t="str">
        <f t="shared" ref="C2:C15" si="1">TEXT(B2,"dddd")</f>
        <v>Sunday</v>
      </c>
      <c r="D2" s="9">
        <v>45537.5</v>
      </c>
      <c r="E2" s="9">
        <v>45537.583333333336</v>
      </c>
      <c r="F2" s="10">
        <v>2.0</v>
      </c>
      <c r="G2" s="7" t="s">
        <v>11</v>
      </c>
      <c r="H2" s="3"/>
      <c r="I2" s="11" t="s">
        <v>12</v>
      </c>
      <c r="J2" s="12">
        <v>0.05</v>
      </c>
      <c r="K2" s="11" t="s">
        <v>13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6.75" customHeight="1">
      <c r="A3" s="7" t="s">
        <v>14</v>
      </c>
      <c r="B3" s="8">
        <v>45914.0</v>
      </c>
      <c r="C3" s="7" t="str">
        <f t="shared" si="1"/>
        <v>Sunday</v>
      </c>
      <c r="D3" s="9">
        <v>45534.416666666664</v>
      </c>
      <c r="E3" s="9">
        <v>45534.5</v>
      </c>
      <c r="F3" s="10">
        <v>2.0</v>
      </c>
      <c r="G3" s="7" t="s">
        <v>15</v>
      </c>
      <c r="H3" s="3"/>
      <c r="I3" s="11" t="s">
        <v>16</v>
      </c>
      <c r="J3" s="13">
        <v>0.1</v>
      </c>
      <c r="K3" s="11" t="s">
        <v>17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6.75" customHeight="1">
      <c r="A4" s="7" t="s">
        <v>18</v>
      </c>
      <c r="B4" s="8">
        <v>45921.0</v>
      </c>
      <c r="C4" s="7" t="str">
        <f t="shared" si="1"/>
        <v>Sunday</v>
      </c>
      <c r="D4" s="9">
        <v>45534.416666666664</v>
      </c>
      <c r="E4" s="9">
        <v>45534.5</v>
      </c>
      <c r="F4" s="10">
        <v>2.0</v>
      </c>
      <c r="G4" s="7" t="s">
        <v>19</v>
      </c>
      <c r="H4" s="3"/>
      <c r="I4" s="11" t="s">
        <v>20</v>
      </c>
      <c r="J4" s="12">
        <v>0.1</v>
      </c>
      <c r="K4" s="11" t="s">
        <v>21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22</v>
      </c>
      <c r="B5" s="8">
        <v>45928.0</v>
      </c>
      <c r="C5" s="7" t="str">
        <f t="shared" si="1"/>
        <v>Sunday</v>
      </c>
      <c r="D5" s="9">
        <v>45534.416666666664</v>
      </c>
      <c r="E5" s="9">
        <v>45534.5</v>
      </c>
      <c r="F5" s="10">
        <v>2.0</v>
      </c>
      <c r="G5" s="7" t="s">
        <v>23</v>
      </c>
      <c r="H5" s="3"/>
      <c r="I5" s="14" t="s">
        <v>24</v>
      </c>
      <c r="J5" s="12">
        <v>0.15</v>
      </c>
      <c r="K5" s="11" t="s">
        <v>25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26</v>
      </c>
      <c r="B6" s="8">
        <v>45935.0</v>
      </c>
      <c r="C6" s="7" t="str">
        <f t="shared" si="1"/>
        <v>Sunday</v>
      </c>
      <c r="D6" s="9">
        <v>45534.416666666664</v>
      </c>
      <c r="E6" s="9">
        <v>45534.5</v>
      </c>
      <c r="F6" s="10">
        <v>2.0</v>
      </c>
      <c r="G6" s="7" t="s">
        <v>27</v>
      </c>
      <c r="H6" s="3"/>
      <c r="I6" s="14" t="s">
        <v>28</v>
      </c>
      <c r="J6" s="12">
        <v>0.15</v>
      </c>
      <c r="K6" s="1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7" t="s">
        <v>29</v>
      </c>
      <c r="B7" s="8">
        <v>45942.0</v>
      </c>
      <c r="C7" s="7" t="str">
        <f t="shared" si="1"/>
        <v>Sunday</v>
      </c>
      <c r="D7" s="9">
        <v>45534.416666666664</v>
      </c>
      <c r="E7" s="9">
        <v>45534.5</v>
      </c>
      <c r="F7" s="10">
        <v>2.0</v>
      </c>
      <c r="G7" s="7" t="s">
        <v>30</v>
      </c>
      <c r="H7" s="3"/>
      <c r="I7" s="11" t="s">
        <v>31</v>
      </c>
      <c r="J7" s="12">
        <v>0.45</v>
      </c>
      <c r="K7" s="14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0" customHeight="1">
      <c r="A8" s="15" t="s">
        <v>24</v>
      </c>
      <c r="B8" s="16">
        <v>45944.0</v>
      </c>
      <c r="C8" s="7" t="str">
        <f t="shared" si="1"/>
        <v>Tuesday</v>
      </c>
      <c r="D8" s="17">
        <v>45538.631944444445</v>
      </c>
      <c r="E8" s="17">
        <v>45538.708333333336</v>
      </c>
      <c r="F8" s="18"/>
      <c r="G8" s="19" t="s">
        <v>32</v>
      </c>
      <c r="H8" s="3"/>
      <c r="I8" s="14"/>
      <c r="J8" s="13"/>
      <c r="K8" s="14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7" t="s">
        <v>33</v>
      </c>
      <c r="B9" s="8">
        <v>45949.0</v>
      </c>
      <c r="C9" s="7" t="str">
        <f t="shared" si="1"/>
        <v>Sunday</v>
      </c>
      <c r="D9" s="9">
        <v>45538.833333333336</v>
      </c>
      <c r="E9" s="9">
        <v>45538.916666666664</v>
      </c>
      <c r="F9" s="10">
        <v>2.0</v>
      </c>
      <c r="G9" s="20" t="s">
        <v>34</v>
      </c>
      <c r="H9" s="3"/>
      <c r="I9" s="14"/>
      <c r="J9" s="13"/>
      <c r="K9" s="14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7" t="s">
        <v>35</v>
      </c>
      <c r="B10" s="8">
        <v>45956.0</v>
      </c>
      <c r="C10" s="7" t="str">
        <f t="shared" si="1"/>
        <v>Sunday</v>
      </c>
      <c r="D10" s="9">
        <v>45538.833333333336</v>
      </c>
      <c r="E10" s="9">
        <v>45538.916666666664</v>
      </c>
      <c r="F10" s="10">
        <v>2.0</v>
      </c>
      <c r="G10" s="20" t="s">
        <v>36</v>
      </c>
      <c r="H10" s="3"/>
      <c r="I10" s="3"/>
      <c r="J10" s="3"/>
      <c r="K10" s="3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37</v>
      </c>
      <c r="B11" s="8">
        <v>45963.0</v>
      </c>
      <c r="C11" s="7" t="str">
        <f t="shared" si="1"/>
        <v>Sunday</v>
      </c>
      <c r="D11" s="9">
        <v>45538.833333333336</v>
      </c>
      <c r="E11" s="9">
        <v>45538.916666666664</v>
      </c>
      <c r="F11" s="10">
        <v>2.0</v>
      </c>
      <c r="G11" s="7" t="s">
        <v>36</v>
      </c>
      <c r="H11" s="3"/>
      <c r="I11" s="3"/>
      <c r="J11" s="3"/>
      <c r="K11" s="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7" t="s">
        <v>38</v>
      </c>
      <c r="B12" s="8">
        <v>45970.0</v>
      </c>
      <c r="C12" s="7" t="str">
        <f t="shared" si="1"/>
        <v>Sunday</v>
      </c>
      <c r="D12" s="9">
        <v>45534.416666666664</v>
      </c>
      <c r="E12" s="9">
        <v>45534.5</v>
      </c>
      <c r="F12" s="10">
        <v>2.0</v>
      </c>
      <c r="G12" s="7" t="s">
        <v>39</v>
      </c>
      <c r="H12" s="3"/>
      <c r="I12" s="3"/>
      <c r="J12" s="3"/>
      <c r="K12" s="3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40</v>
      </c>
      <c r="B13" s="8">
        <v>45977.0</v>
      </c>
      <c r="C13" s="7" t="str">
        <f t="shared" si="1"/>
        <v>Sunday</v>
      </c>
      <c r="D13" s="9">
        <v>45534.416666666664</v>
      </c>
      <c r="E13" s="9">
        <v>45534.5</v>
      </c>
      <c r="F13" s="10">
        <v>2.0</v>
      </c>
      <c r="G13" s="7" t="s">
        <v>41</v>
      </c>
      <c r="H13" s="3"/>
      <c r="I13" s="3"/>
      <c r="J13" s="3"/>
      <c r="K13" s="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42</v>
      </c>
      <c r="B14" s="8">
        <v>45984.0</v>
      </c>
      <c r="C14" s="7" t="str">
        <f t="shared" si="1"/>
        <v>Sunday</v>
      </c>
      <c r="D14" s="9">
        <v>45534.416666666664</v>
      </c>
      <c r="E14" s="9">
        <v>45534.5</v>
      </c>
      <c r="F14" s="10">
        <v>2.0</v>
      </c>
      <c r="G14" s="7" t="s">
        <v>43</v>
      </c>
      <c r="H14" s="3"/>
      <c r="I14" s="3"/>
      <c r="J14" s="3"/>
      <c r="K14" s="3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7" t="s">
        <v>44</v>
      </c>
      <c r="B15" s="8">
        <v>45991.0</v>
      </c>
      <c r="C15" s="7" t="str">
        <f t="shared" si="1"/>
        <v>Sunday</v>
      </c>
      <c r="D15" s="9">
        <v>45534.416666666664</v>
      </c>
      <c r="E15" s="9">
        <v>45534.5</v>
      </c>
      <c r="F15" s="10">
        <v>2.0</v>
      </c>
      <c r="G15" s="7" t="s">
        <v>45</v>
      </c>
      <c r="H15" s="3"/>
      <c r="I15" s="3"/>
      <c r="J15" s="3"/>
      <c r="K15" s="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7"/>
      <c r="B16" s="8"/>
      <c r="C16" s="7"/>
      <c r="D16" s="9"/>
      <c r="E16" s="9"/>
      <c r="F16" s="10"/>
      <c r="G16" s="21"/>
      <c r="H16" s="3"/>
      <c r="I16" s="3"/>
      <c r="J16" s="3"/>
      <c r="K16" s="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7"/>
      <c r="B17" s="8"/>
      <c r="C17" s="7"/>
      <c r="D17" s="9"/>
      <c r="E17" s="9"/>
      <c r="F17" s="10"/>
      <c r="G17" s="10"/>
      <c r="H17" s="22"/>
      <c r="I17" s="23"/>
      <c r="J17" s="23"/>
      <c r="K17" s="2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7"/>
      <c r="B18" s="8"/>
      <c r="C18" s="7"/>
      <c r="D18" s="9"/>
      <c r="E18" s="9"/>
      <c r="F18" s="10"/>
      <c r="G18" s="10"/>
      <c r="H18" s="22"/>
      <c r="I18" s="23"/>
      <c r="J18" s="23"/>
      <c r="K18" s="2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7"/>
      <c r="B19" s="8"/>
      <c r="C19" s="7"/>
      <c r="D19" s="9"/>
      <c r="E19" s="9"/>
      <c r="F19" s="10"/>
      <c r="G19" s="24"/>
      <c r="H19" s="22"/>
      <c r="I19" s="23"/>
      <c r="J19" s="23"/>
      <c r="K19" s="2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7"/>
      <c r="B20" s="8"/>
      <c r="C20" s="7"/>
      <c r="D20" s="9"/>
      <c r="E20" s="9"/>
      <c r="F20" s="25"/>
      <c r="G20" s="26"/>
      <c r="H20" s="27"/>
      <c r="I20" s="23"/>
      <c r="J20" s="23"/>
      <c r="K20" s="23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28"/>
      <c r="B21" s="8"/>
      <c r="C21" s="7"/>
      <c r="D21" s="29"/>
      <c r="E21" s="29"/>
      <c r="F21" s="30"/>
      <c r="G21" s="31"/>
      <c r="H21" s="27"/>
      <c r="I21" s="23"/>
      <c r="J21" s="23"/>
      <c r="K21" s="23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32"/>
      <c r="B22" s="33"/>
      <c r="C22" s="33"/>
      <c r="D22" s="33"/>
      <c r="E22" s="33"/>
      <c r="F22" s="32">
        <f>SUM(F2:F19)</f>
        <v>26</v>
      </c>
      <c r="G22" s="32"/>
      <c r="H22" s="34"/>
      <c r="I22" s="23"/>
      <c r="J22" s="23"/>
      <c r="K22" s="2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23"/>
      <c r="B23" s="35"/>
      <c r="C23" s="35"/>
      <c r="D23" s="35"/>
      <c r="E23" s="35"/>
      <c r="F23" s="23"/>
      <c r="G23" s="23"/>
      <c r="H23" s="34"/>
      <c r="I23" s="23"/>
      <c r="J23" s="23"/>
      <c r="K23" s="2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8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8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8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8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8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8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8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8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8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8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8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8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8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